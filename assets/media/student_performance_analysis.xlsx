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FB8F0D9-82FC-403A-82FA-416DE126C003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tudent Scores" sheetId="1" r:id="rId1"/>
    <sheet name="Analysis Summary" sheetId="2" r:id="rId2"/>
    <sheet name="Read Me" sheetId="3" r:id="rId3"/>
  </sheets>
  <definedNames>
    <definedName name="_xlnm._FilterDatabase" localSheetId="0" hidden="1">'Student Scores'!$A$1:$J$13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G6" i="2"/>
  <c r="B5" i="2"/>
  <c r="I13" i="1"/>
  <c r="J13" i="1" s="1"/>
  <c r="H13" i="1"/>
  <c r="I12" i="1"/>
  <c r="J12" i="1" s="1"/>
  <c r="H12" i="1"/>
  <c r="I11" i="1"/>
  <c r="J11" i="1" s="1"/>
  <c r="H11" i="1"/>
  <c r="I10" i="1"/>
  <c r="J10" i="1" s="1"/>
  <c r="H10" i="1"/>
  <c r="I9" i="1"/>
  <c r="J9" i="1" s="1"/>
  <c r="H9" i="1"/>
  <c r="I8" i="1"/>
  <c r="J8" i="1" s="1"/>
  <c r="H8" i="1"/>
  <c r="I7" i="1"/>
  <c r="J7" i="1" s="1"/>
  <c r="H7" i="1"/>
  <c r="I6" i="1"/>
  <c r="J6" i="1" s="1"/>
  <c r="H6" i="1"/>
  <c r="I5" i="1"/>
  <c r="J5" i="1" s="1"/>
  <c r="H5" i="1"/>
  <c r="I4" i="1"/>
  <c r="J4" i="1" s="1"/>
  <c r="H4" i="1"/>
  <c r="I3" i="1"/>
  <c r="J3" i="1" s="1"/>
  <c r="H3" i="1"/>
  <c r="J2" i="1"/>
  <c r="I2" i="1"/>
  <c r="H2" i="1"/>
  <c r="G5" i="2" l="1"/>
  <c r="G20" i="2"/>
  <c r="B10" i="2"/>
  <c r="B8" i="2"/>
  <c r="G8" i="2"/>
  <c r="B7" i="2"/>
  <c r="B9" i="2"/>
  <c r="G16" i="2"/>
  <c r="G17" i="2"/>
  <c r="G18" i="2"/>
  <c r="G19" i="2"/>
  <c r="G7" i="2" l="1"/>
</calcChain>
</file>

<file path=xl/sharedStrings.xml><?xml version="1.0" encoding="utf-8"?>
<sst xmlns="http://schemas.openxmlformats.org/spreadsheetml/2006/main" count="83" uniqueCount="76">
  <si>
    <t>Student ID</t>
  </si>
  <si>
    <t>Student Name</t>
  </si>
  <si>
    <t>Mathematics</t>
  </si>
  <si>
    <t>Statistics</t>
  </si>
  <si>
    <t>Physics</t>
  </si>
  <si>
    <t>Computing</t>
  </si>
  <si>
    <t>English</t>
  </si>
  <si>
    <t>Total Marks</t>
  </si>
  <si>
    <t>Average (%)</t>
  </si>
  <si>
    <t>Grade</t>
  </si>
  <si>
    <t>ST001</t>
  </si>
  <si>
    <t>ST002</t>
  </si>
  <si>
    <t>Chinedu</t>
  </si>
  <si>
    <t>ST003</t>
  </si>
  <si>
    <t>Blessing</t>
  </si>
  <si>
    <t>ST004</t>
  </si>
  <si>
    <t>Emmanuel</t>
  </si>
  <si>
    <t>ST005</t>
  </si>
  <si>
    <t>Favour</t>
  </si>
  <si>
    <t>ST006</t>
  </si>
  <si>
    <t>Gift</t>
  </si>
  <si>
    <t>ST007</t>
  </si>
  <si>
    <t>Deborah</t>
  </si>
  <si>
    <t>ST008</t>
  </si>
  <si>
    <t>Kingsley</t>
  </si>
  <si>
    <t>ST009</t>
  </si>
  <si>
    <t>Ruth</t>
  </si>
  <si>
    <t>ST010</t>
  </si>
  <si>
    <t>Samuel</t>
  </si>
  <si>
    <t>ST011</t>
  </si>
  <si>
    <t>Esther</t>
  </si>
  <si>
    <t>ST012</t>
  </si>
  <si>
    <t>Daniel</t>
  </si>
  <si>
    <t>STUDENT PERFORMANCE ANALYSIS</t>
  </si>
  <si>
    <t>Fictional assessment dataset | Formulas update when scores change</t>
  </si>
  <si>
    <t>KEY METRICS</t>
  </si>
  <si>
    <t>QUICK INTERPRETATION</t>
  </si>
  <si>
    <t>Total Students</t>
  </si>
  <si>
    <t>Highest subject average</t>
  </si>
  <si>
    <t>Total Marks Possible per Student</t>
  </si>
  <si>
    <t>Lowest subject average</t>
  </si>
  <si>
    <t>Class Average (%)</t>
  </si>
  <si>
    <t>Most common grade</t>
  </si>
  <si>
    <t>Highest Student Average (%)</t>
  </si>
  <si>
    <t>Students with average below 50</t>
  </si>
  <si>
    <t>Lowest Student Average (%)</t>
  </si>
  <si>
    <t>Pass Rate (Average &gt;= 50)</t>
  </si>
  <si>
    <t>SUBJECT COMPARISON</t>
  </si>
  <si>
    <t>GRADE DISTRIBUTION</t>
  </si>
  <si>
    <t>Subject</t>
  </si>
  <si>
    <t>Average Mark</t>
  </si>
  <si>
    <t>Highest Mark</t>
  </si>
  <si>
    <t>Lowest Mark</t>
  </si>
  <si>
    <t>Student Count</t>
  </si>
  <si>
    <t>A</t>
  </si>
  <si>
    <t>B</t>
  </si>
  <si>
    <t>C</t>
  </si>
  <si>
    <t>D</t>
  </si>
  <si>
    <t>F</t>
  </si>
  <si>
    <t>HOW TO USE THIS WORKBOOK</t>
  </si>
  <si>
    <t>Purpose</t>
  </si>
  <si>
    <t>Practice Excel data analysis using fictional student scores.</t>
  </si>
  <si>
    <t>Student Scores</t>
  </si>
  <si>
    <t>Student IDs/names, five subject scores, total marks, average and grade.</t>
  </si>
  <si>
    <t>Calculated with SUM across five subjects (maximum 500).</t>
  </si>
  <si>
    <t>Average</t>
  </si>
  <si>
    <t>Calculated with AVERAGE across the five subject scores.</t>
  </si>
  <si>
    <t>Grade bands</t>
  </si>
  <si>
    <t>A = 80–100; B = 70–79.9; C = 60–69.9; D = 50–59.9; F = below 50.</t>
  </si>
  <si>
    <t>Analysis Summary</t>
  </si>
  <si>
    <t>Class metrics, subject comparisons, grade distribution, and charts.</t>
  </si>
  <si>
    <t>Try this</t>
  </si>
  <si>
    <t>Change a score in Student Scores and check how formulas update. Keep scores from 0 to 100.</t>
  </si>
  <si>
    <t>Important</t>
  </si>
  <si>
    <t>All names and scores are fictional examples, not real student records.</t>
  </si>
  <si>
    <t>adoabi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</si>
</sst>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color rgb="FF29332F"/>
      <name val="Calibri"/>
    </font>
    <font>
      <b/>
      <sz val="16"/>
      <color rgb="FFFFFFFF"/>
      <name val="Calibri"/>
    </font>
    <font>
      <b/>
      <sz val="11"/>
      <color rgb="FF174C4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4C45"/>
      </patternFill>
    </fill>
    <fill>
      <patternFill patternType="solid">
        <fgColor rgb="FFF3F7F2"/>
      </patternFill>
    </fill>
    <fill>
      <patternFill patternType="solid">
        <fgColor rgb="FFF7F5EF"/>
      </patternFill>
    </fill>
    <fill>
      <patternFill patternType="solid">
        <fgColor rgb="FFEAF2EA"/>
      </patternFill>
    </fill>
    <fill>
      <patternFill patternType="solid">
        <fgColor rgb="FFF7F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165" fontId="0" fillId="6" borderId="0" xfId="0" applyNumberForma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Average Mark by Subject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'Analysis Summary'!$B$15</c:f>
              <c:strCache>
                <c:ptCount val="1"/>
                <c:pt idx="0">
                  <c:v>Average Mark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'Analysis Summary'!$A$16:$A$20</c:f>
              <c:strCache>
                <c:ptCount val="5"/>
                <c:pt idx="0">
                  <c:v>Mathematics</c:v>
                </c:pt>
                <c:pt idx="1">
                  <c:v>Statistics</c:v>
                </c:pt>
                <c:pt idx="2">
                  <c:v>Physics</c:v>
                </c:pt>
                <c:pt idx="3">
                  <c:v>Computing</c:v>
                </c:pt>
                <c:pt idx="4">
                  <c:v>English</c:v>
                </c:pt>
              </c:strCache>
            </c:strRef>
          </c:cat>
          <c:val>
            <c:numRef>
              <c:f>'Analysis Summary'!$B$16:$B$20</c:f>
              <c:numCache>
                <c:formatCode>0.0</c:formatCode>
                <c:ptCount val="5"/>
                <c:pt idx="0">
                  <c:v>73.083333333333329</c:v>
                </c:pt>
                <c:pt idx="1">
                  <c:v>75.083333333333329</c:v>
                </c:pt>
                <c:pt idx="2">
                  <c:v>73</c:v>
                </c:pt>
                <c:pt idx="3">
                  <c:v>74.166666666666671</c:v>
                </c:pt>
                <c:pt idx="4">
                  <c:v>72.166666666666671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5-4B2A-87C5-12F446393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Subject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Mark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Grade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'Analysis Summary'!$G$15</c:f>
              <c:strCache>
                <c:ptCount val="1"/>
                <c:pt idx="0">
                  <c:v>Student 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'Analysis Summary'!$F$16:$F$20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'Analysis Summary'!$G$16:$G$20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D-4423-A508-E2DCA3BB10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22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H23" sqref="H23"/>
    </sheetView>
  </sheetViews>
  <sheetFormatPr defaultRowHeight="14.5" x14ac:dyDescent="0.35"/>
  <cols>
    <col min="1" max="1" width="14" customWidth="1"/>
    <col min="2" max="2" width="18" customWidth="1"/>
    <col min="3" max="3" width="15" customWidth="1"/>
    <col min="4" max="4" width="13" customWidth="1"/>
    <col min="5" max="5" width="12" customWidth="1"/>
    <col min="6" max="6" width="13" customWidth="1"/>
    <col min="7" max="7" width="12" customWidth="1"/>
    <col min="8" max="8" width="14" customWidth="1"/>
    <col min="9" max="9" width="13" customWidth="1"/>
    <col min="10" max="10" width="10" customWidth="1"/>
  </cols>
  <sheetData>
    <row r="1" spans="1:10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75</v>
      </c>
      <c r="C2" s="2">
        <v>78</v>
      </c>
      <c r="D2" s="2">
        <v>85</v>
      </c>
      <c r="E2" s="2">
        <v>76</v>
      </c>
      <c r="F2" s="2">
        <v>88</v>
      </c>
      <c r="G2" s="2">
        <v>82</v>
      </c>
      <c r="H2" s="2">
        <f t="shared" ref="H2:H13" si="0">SUM(C2:G2)</f>
        <v>409</v>
      </c>
      <c r="I2" s="3">
        <f t="shared" ref="I2:I13" si="1">AVERAGE(C2:G2)</f>
        <v>81.8</v>
      </c>
      <c r="J2" s="2" t="str">
        <f t="shared" ref="J2:J13" si="2">IF(I2&gt;=80,"A",IF(I2&gt;=70,"B",IF(I2&gt;=60,"C",IF(I2&gt;=50,"D","F"))))</f>
        <v>A</v>
      </c>
    </row>
    <row r="3" spans="1:10" x14ac:dyDescent="0.35">
      <c r="A3" s="4" t="s">
        <v>11</v>
      </c>
      <c r="B3" s="4" t="s">
        <v>12</v>
      </c>
      <c r="C3" s="4">
        <v>65</v>
      </c>
      <c r="D3" s="4">
        <v>72</v>
      </c>
      <c r="E3" s="4">
        <v>68</v>
      </c>
      <c r="F3" s="4">
        <v>70</v>
      </c>
      <c r="G3" s="4">
        <v>66</v>
      </c>
      <c r="H3" s="4">
        <f t="shared" si="0"/>
        <v>341</v>
      </c>
      <c r="I3" s="5">
        <f t="shared" si="1"/>
        <v>68.2</v>
      </c>
      <c r="J3" s="4" t="str">
        <f t="shared" si="2"/>
        <v>C</v>
      </c>
    </row>
    <row r="4" spans="1:10" x14ac:dyDescent="0.35">
      <c r="A4" s="2" t="s">
        <v>13</v>
      </c>
      <c r="B4" s="2" t="s">
        <v>14</v>
      </c>
      <c r="C4" s="2">
        <v>92</v>
      </c>
      <c r="D4" s="2">
        <v>88</v>
      </c>
      <c r="E4" s="2">
        <v>94</v>
      </c>
      <c r="F4" s="2">
        <v>90</v>
      </c>
      <c r="G4" s="2">
        <v>89</v>
      </c>
      <c r="H4" s="2">
        <f t="shared" si="0"/>
        <v>453</v>
      </c>
      <c r="I4" s="3">
        <f t="shared" si="1"/>
        <v>90.6</v>
      </c>
      <c r="J4" s="2" t="str">
        <f t="shared" si="2"/>
        <v>A</v>
      </c>
    </row>
    <row r="5" spans="1:10" x14ac:dyDescent="0.35">
      <c r="A5" s="4" t="s">
        <v>15</v>
      </c>
      <c r="B5" s="4" t="s">
        <v>16</v>
      </c>
      <c r="C5" s="4">
        <v>58</v>
      </c>
      <c r="D5" s="4">
        <v>62</v>
      </c>
      <c r="E5" s="4">
        <v>55</v>
      </c>
      <c r="F5" s="4">
        <v>60</v>
      </c>
      <c r="G5" s="4">
        <v>57</v>
      </c>
      <c r="H5" s="4">
        <f t="shared" si="0"/>
        <v>292</v>
      </c>
      <c r="I5" s="5">
        <f t="shared" si="1"/>
        <v>58.4</v>
      </c>
      <c r="J5" s="4" t="str">
        <f t="shared" si="2"/>
        <v>D</v>
      </c>
    </row>
    <row r="6" spans="1:10" x14ac:dyDescent="0.35">
      <c r="A6" s="2" t="s">
        <v>17</v>
      </c>
      <c r="B6" s="2" t="s">
        <v>18</v>
      </c>
      <c r="C6" s="2">
        <v>74</v>
      </c>
      <c r="D6" s="2">
        <v>76</v>
      </c>
      <c r="E6" s="2">
        <v>80</v>
      </c>
      <c r="F6" s="2">
        <v>73</v>
      </c>
      <c r="G6" s="2">
        <v>78</v>
      </c>
      <c r="H6" s="2">
        <f t="shared" si="0"/>
        <v>381</v>
      </c>
      <c r="I6" s="3">
        <f t="shared" si="1"/>
        <v>76.2</v>
      </c>
      <c r="J6" s="2" t="str">
        <f t="shared" si="2"/>
        <v>B</v>
      </c>
    </row>
    <row r="7" spans="1:10" x14ac:dyDescent="0.35">
      <c r="A7" s="4" t="s">
        <v>19</v>
      </c>
      <c r="B7" s="4" t="s">
        <v>20</v>
      </c>
      <c r="C7" s="4">
        <v>88</v>
      </c>
      <c r="D7" s="4">
        <v>91</v>
      </c>
      <c r="E7" s="4">
        <v>85</v>
      </c>
      <c r="F7" s="4">
        <v>87</v>
      </c>
      <c r="G7" s="4">
        <v>83</v>
      </c>
      <c r="H7" s="4">
        <f t="shared" si="0"/>
        <v>434</v>
      </c>
      <c r="I7" s="5">
        <f t="shared" si="1"/>
        <v>86.8</v>
      </c>
      <c r="J7" s="4" t="str">
        <f t="shared" si="2"/>
        <v>A</v>
      </c>
    </row>
    <row r="8" spans="1:10" x14ac:dyDescent="0.35">
      <c r="A8" s="2" t="s">
        <v>21</v>
      </c>
      <c r="B8" s="2" t="s">
        <v>22</v>
      </c>
      <c r="C8" s="2">
        <v>46</v>
      </c>
      <c r="D8" s="2">
        <v>52</v>
      </c>
      <c r="E8" s="2">
        <v>49</v>
      </c>
      <c r="F8" s="2">
        <v>55</v>
      </c>
      <c r="G8" s="2">
        <v>51</v>
      </c>
      <c r="H8" s="2">
        <f t="shared" si="0"/>
        <v>253</v>
      </c>
      <c r="I8" s="3">
        <f t="shared" si="1"/>
        <v>50.6</v>
      </c>
      <c r="J8" s="2" t="str">
        <f t="shared" si="2"/>
        <v>D</v>
      </c>
    </row>
    <row r="9" spans="1:10" x14ac:dyDescent="0.35">
      <c r="A9" s="4" t="s">
        <v>23</v>
      </c>
      <c r="B9" s="4" t="s">
        <v>24</v>
      </c>
      <c r="C9" s="4">
        <v>71</v>
      </c>
      <c r="D9" s="4">
        <v>69</v>
      </c>
      <c r="E9" s="4">
        <v>74</v>
      </c>
      <c r="F9" s="4">
        <v>72</v>
      </c>
      <c r="G9" s="4">
        <v>68</v>
      </c>
      <c r="H9" s="4">
        <f t="shared" si="0"/>
        <v>354</v>
      </c>
      <c r="I9" s="5">
        <f t="shared" si="1"/>
        <v>70.8</v>
      </c>
      <c r="J9" s="4" t="str">
        <f t="shared" si="2"/>
        <v>B</v>
      </c>
    </row>
    <row r="10" spans="1:10" x14ac:dyDescent="0.35">
      <c r="A10" s="2" t="s">
        <v>25</v>
      </c>
      <c r="B10" s="2" t="s">
        <v>26</v>
      </c>
      <c r="C10" s="2">
        <v>82</v>
      </c>
      <c r="D10" s="2">
        <v>79</v>
      </c>
      <c r="E10" s="2">
        <v>77</v>
      </c>
      <c r="F10" s="2">
        <v>81</v>
      </c>
      <c r="G10" s="2">
        <v>76</v>
      </c>
      <c r="H10" s="2">
        <f t="shared" si="0"/>
        <v>395</v>
      </c>
      <c r="I10" s="3">
        <f t="shared" si="1"/>
        <v>79</v>
      </c>
      <c r="J10" s="2" t="str">
        <f t="shared" si="2"/>
        <v>B</v>
      </c>
    </row>
    <row r="11" spans="1:10" x14ac:dyDescent="0.35">
      <c r="A11" s="4" t="s">
        <v>27</v>
      </c>
      <c r="B11" s="4" t="s">
        <v>28</v>
      </c>
      <c r="C11" s="4">
        <v>60</v>
      </c>
      <c r="D11" s="4">
        <v>65</v>
      </c>
      <c r="E11" s="4">
        <v>62</v>
      </c>
      <c r="F11" s="4">
        <v>58</v>
      </c>
      <c r="G11" s="4">
        <v>61</v>
      </c>
      <c r="H11" s="4">
        <f t="shared" si="0"/>
        <v>306</v>
      </c>
      <c r="I11" s="5">
        <f t="shared" si="1"/>
        <v>61.2</v>
      </c>
      <c r="J11" s="4" t="str">
        <f t="shared" si="2"/>
        <v>C</v>
      </c>
    </row>
    <row r="12" spans="1:10" x14ac:dyDescent="0.35">
      <c r="A12" s="2" t="s">
        <v>29</v>
      </c>
      <c r="B12" s="2" t="s">
        <v>30</v>
      </c>
      <c r="C12" s="2">
        <v>95</v>
      </c>
      <c r="D12" s="2">
        <v>92</v>
      </c>
      <c r="E12" s="2">
        <v>90</v>
      </c>
      <c r="F12" s="2">
        <v>93</v>
      </c>
      <c r="G12" s="2">
        <v>88</v>
      </c>
      <c r="H12" s="2">
        <f t="shared" si="0"/>
        <v>458</v>
      </c>
      <c r="I12" s="3">
        <f t="shared" si="1"/>
        <v>91.6</v>
      </c>
      <c r="J12" s="2" t="str">
        <f t="shared" si="2"/>
        <v>A</v>
      </c>
    </row>
    <row r="13" spans="1:10" x14ac:dyDescent="0.35">
      <c r="A13" s="4" t="s">
        <v>31</v>
      </c>
      <c r="B13" s="4" t="s">
        <v>32</v>
      </c>
      <c r="C13" s="4">
        <v>68</v>
      </c>
      <c r="D13" s="4">
        <v>70</v>
      </c>
      <c r="E13" s="4">
        <v>66</v>
      </c>
      <c r="F13" s="4">
        <v>63</v>
      </c>
      <c r="G13" s="4">
        <v>67</v>
      </c>
      <c r="H13" s="4">
        <f t="shared" si="0"/>
        <v>334</v>
      </c>
      <c r="I13" s="5">
        <f t="shared" si="1"/>
        <v>66.8</v>
      </c>
      <c r="J13" s="4" t="str">
        <f t="shared" si="2"/>
        <v>C</v>
      </c>
    </row>
  </sheetData>
  <autoFilter ref="A1:J13" xr:uid="{00000000-0009-0000-0000-000000000000}"/>
  <conditionalFormatting sqref="C2:G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1" customWidth="1"/>
    <col min="2" max="2" width="18" customWidth="1"/>
    <col min="3" max="4" width="16" customWidth="1"/>
    <col min="5" max="5" width="3" customWidth="1"/>
    <col min="6" max="6" width="27" customWidth="1"/>
    <col min="7" max="7" width="19" customWidth="1"/>
  </cols>
  <sheetData>
    <row r="1" spans="1:7" x14ac:dyDescent="0.35">
      <c r="A1" s="12" t="s">
        <v>33</v>
      </c>
      <c r="B1" s="11"/>
      <c r="C1" s="11"/>
      <c r="D1" s="11"/>
      <c r="E1" s="11"/>
      <c r="F1" s="11"/>
      <c r="G1" s="11"/>
    </row>
    <row r="2" spans="1:7" x14ac:dyDescent="0.35">
      <c r="A2" s="10" t="s">
        <v>34</v>
      </c>
      <c r="B2" s="11"/>
      <c r="C2" s="11"/>
      <c r="D2" s="11"/>
      <c r="E2" s="11"/>
      <c r="F2" s="11"/>
      <c r="G2" s="11"/>
    </row>
    <row r="3" spans="1:7" x14ac:dyDescent="0.35">
      <c r="A3" s="4"/>
      <c r="B3" s="4"/>
      <c r="C3" s="4"/>
      <c r="D3" s="4"/>
      <c r="E3" s="4"/>
      <c r="F3" s="4"/>
      <c r="G3" s="4"/>
    </row>
    <row r="4" spans="1:7" x14ac:dyDescent="0.35">
      <c r="A4" s="1" t="s">
        <v>35</v>
      </c>
      <c r="B4" s="4"/>
      <c r="C4" s="4"/>
      <c r="D4" s="4"/>
      <c r="E4" s="4"/>
      <c r="F4" s="1" t="s">
        <v>36</v>
      </c>
      <c r="G4" s="4"/>
    </row>
    <row r="5" spans="1:7" x14ac:dyDescent="0.35">
      <c r="A5" s="6" t="s">
        <v>37</v>
      </c>
      <c r="B5" s="7">
        <f>COUNTA('Student Scores'!A2:A13)</f>
        <v>12</v>
      </c>
      <c r="C5" s="4"/>
      <c r="D5" s="4"/>
      <c r="E5" s="4"/>
      <c r="F5" s="6" t="s">
        <v>38</v>
      </c>
      <c r="G5" s="7" t="str">
        <f>INDEX(A16:A20,MATCH(MAX(B16:B20),B16:B20,0))</f>
        <v>Statistics</v>
      </c>
    </row>
    <row r="6" spans="1:7" x14ac:dyDescent="0.35">
      <c r="A6" s="6" t="s">
        <v>39</v>
      </c>
      <c r="B6" s="7">
        <v>500</v>
      </c>
      <c r="C6" s="4"/>
      <c r="D6" s="4"/>
      <c r="E6" s="4"/>
      <c r="F6" s="6" t="s">
        <v>40</v>
      </c>
      <c r="G6" s="7" t="str">
        <f>INDEX(A16:A20,MATCH(MIN(B16:B20),B16:B20,0))</f>
        <v>English</v>
      </c>
    </row>
    <row r="7" spans="1:7" x14ac:dyDescent="0.35">
      <c r="A7" s="6" t="s">
        <v>41</v>
      </c>
      <c r="B7" s="8">
        <f>AVERAGE('Student Scores'!I2:I13)</f>
        <v>73.5</v>
      </c>
      <c r="C7" s="4"/>
      <c r="D7" s="4"/>
      <c r="E7" s="4"/>
      <c r="F7" s="6" t="s">
        <v>42</v>
      </c>
      <c r="G7" s="7" t="str">
        <f>INDEX(F16:F20,MATCH(MAX(G16:G20),G16:G20,0))</f>
        <v>A</v>
      </c>
    </row>
    <row r="8" spans="1:7" ht="29" x14ac:dyDescent="0.35">
      <c r="A8" s="6" t="s">
        <v>43</v>
      </c>
      <c r="B8" s="8">
        <f>MAX('Student Scores'!I2:I13)</f>
        <v>91.6</v>
      </c>
      <c r="C8" s="4"/>
      <c r="D8" s="4"/>
      <c r="E8" s="4"/>
      <c r="F8" s="6" t="s">
        <v>44</v>
      </c>
      <c r="G8" s="7">
        <f>COUNTIF('Student Scores'!I2:I13,"&lt;50")</f>
        <v>0</v>
      </c>
    </row>
    <row r="9" spans="1:7" x14ac:dyDescent="0.35">
      <c r="A9" s="6" t="s">
        <v>45</v>
      </c>
      <c r="B9" s="8">
        <f>MIN('Student Scores'!I2:I13)</f>
        <v>50.6</v>
      </c>
      <c r="C9" s="4"/>
      <c r="D9" s="4"/>
      <c r="E9" s="4"/>
      <c r="F9" s="4"/>
      <c r="G9" s="4"/>
    </row>
    <row r="10" spans="1:7" x14ac:dyDescent="0.35">
      <c r="A10" s="6" t="s">
        <v>46</v>
      </c>
      <c r="B10" s="8">
        <f>COUNTIF('Student Scores'!I2:I13,"&gt;=50")/COUNTA('Student Scores'!I2:I13)</f>
        <v>1</v>
      </c>
      <c r="C10" s="4"/>
      <c r="D10" s="4"/>
      <c r="E10" s="4"/>
      <c r="F10" s="4"/>
      <c r="G10" s="4"/>
    </row>
    <row r="11" spans="1:7" x14ac:dyDescent="0.35">
      <c r="A11" s="4"/>
      <c r="B11" s="4"/>
      <c r="C11" s="4"/>
      <c r="D11" s="4"/>
      <c r="E11" s="4"/>
      <c r="F11" s="4"/>
      <c r="G11" s="4"/>
    </row>
    <row r="12" spans="1:7" x14ac:dyDescent="0.35">
      <c r="A12" s="4"/>
      <c r="B12" s="4"/>
      <c r="C12" s="4"/>
      <c r="D12" s="4"/>
      <c r="E12" s="4"/>
      <c r="F12" s="4"/>
      <c r="G12" s="4"/>
    </row>
    <row r="13" spans="1:7" x14ac:dyDescent="0.35">
      <c r="A13" s="1" t="s">
        <v>47</v>
      </c>
      <c r="B13" s="4"/>
      <c r="C13" s="4"/>
      <c r="D13" s="4"/>
      <c r="E13" s="4"/>
      <c r="F13" s="1" t="s">
        <v>48</v>
      </c>
      <c r="G13" s="4"/>
    </row>
    <row r="14" spans="1:7" x14ac:dyDescent="0.35">
      <c r="A14" s="4"/>
      <c r="B14" s="4"/>
      <c r="C14" s="4"/>
      <c r="D14" s="4"/>
      <c r="E14" s="4"/>
      <c r="F14" s="4"/>
      <c r="G14" s="4"/>
    </row>
    <row r="15" spans="1:7" x14ac:dyDescent="0.35">
      <c r="A15" s="1" t="s">
        <v>49</v>
      </c>
      <c r="B15" s="1" t="s">
        <v>50</v>
      </c>
      <c r="C15" s="1" t="s">
        <v>51</v>
      </c>
      <c r="D15" s="1" t="s">
        <v>52</v>
      </c>
      <c r="E15" s="4"/>
      <c r="F15" s="1" t="s">
        <v>9</v>
      </c>
      <c r="G15" s="1" t="s">
        <v>53</v>
      </c>
    </row>
    <row r="16" spans="1:7" x14ac:dyDescent="0.35">
      <c r="A16" s="2" t="s">
        <v>2</v>
      </c>
      <c r="B16" s="3">
        <f>AVERAGE('Student Scores'!C2:C13)</f>
        <v>73.083333333333329</v>
      </c>
      <c r="C16" s="2">
        <f>MAX('Student Scores'!C2:C13)</f>
        <v>95</v>
      </c>
      <c r="D16" s="2">
        <f>MIN('Student Scores'!C2:C13)</f>
        <v>46</v>
      </c>
      <c r="E16" s="4"/>
      <c r="F16" s="4" t="s">
        <v>54</v>
      </c>
      <c r="G16" s="4">
        <f>COUNTIF('Student Scores'!J2:J13,F16)</f>
        <v>4</v>
      </c>
    </row>
    <row r="17" spans="1:7" x14ac:dyDescent="0.35">
      <c r="A17" s="4" t="s">
        <v>3</v>
      </c>
      <c r="B17" s="5">
        <f>AVERAGE('Student Scores'!D2:D13)</f>
        <v>75.083333333333329</v>
      </c>
      <c r="C17" s="4">
        <f>MAX('Student Scores'!D2:D13)</f>
        <v>92</v>
      </c>
      <c r="D17" s="4">
        <f>MIN('Student Scores'!D2:D13)</f>
        <v>52</v>
      </c>
      <c r="E17" s="4"/>
      <c r="F17" s="4" t="s">
        <v>55</v>
      </c>
      <c r="G17" s="4">
        <f>COUNTIF('Student Scores'!J2:J13,F17)</f>
        <v>3</v>
      </c>
    </row>
    <row r="18" spans="1:7" x14ac:dyDescent="0.35">
      <c r="A18" s="2" t="s">
        <v>4</v>
      </c>
      <c r="B18" s="3">
        <f>AVERAGE('Student Scores'!E2:E13)</f>
        <v>73</v>
      </c>
      <c r="C18" s="2">
        <f>MAX('Student Scores'!E2:E13)</f>
        <v>94</v>
      </c>
      <c r="D18" s="2">
        <f>MIN('Student Scores'!E2:E13)</f>
        <v>49</v>
      </c>
      <c r="E18" s="4"/>
      <c r="F18" s="4" t="s">
        <v>56</v>
      </c>
      <c r="G18" s="4">
        <f>COUNTIF('Student Scores'!J2:J13,F18)</f>
        <v>3</v>
      </c>
    </row>
    <row r="19" spans="1:7" x14ac:dyDescent="0.35">
      <c r="A19" s="4" t="s">
        <v>5</v>
      </c>
      <c r="B19" s="5">
        <f>AVERAGE('Student Scores'!F2:F13)</f>
        <v>74.166666666666671</v>
      </c>
      <c r="C19" s="4">
        <f>MAX('Student Scores'!F2:F13)</f>
        <v>93</v>
      </c>
      <c r="D19" s="4">
        <f>MIN('Student Scores'!F2:F13)</f>
        <v>55</v>
      </c>
      <c r="E19" s="4"/>
      <c r="F19" s="4" t="s">
        <v>57</v>
      </c>
      <c r="G19" s="4">
        <f>COUNTIF('Student Scores'!J2:J13,F19)</f>
        <v>2</v>
      </c>
    </row>
    <row r="20" spans="1:7" x14ac:dyDescent="0.35">
      <c r="A20" s="2" t="s">
        <v>6</v>
      </c>
      <c r="B20" s="3">
        <f>AVERAGE('Student Scores'!G2:G13)</f>
        <v>72.166666666666671</v>
      </c>
      <c r="C20" s="2">
        <f>MAX('Student Scores'!G2:G13)</f>
        <v>89</v>
      </c>
      <c r="D20" s="2">
        <f>MIN('Student Scores'!G2:G13)</f>
        <v>51</v>
      </c>
      <c r="E20" s="4"/>
      <c r="F20" s="4" t="s">
        <v>58</v>
      </c>
      <c r="G20" s="4">
        <f>COUNTIF('Student Scores'!J2:J13,F20)</f>
        <v>0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workbookViewId="0"/>
  </sheetViews>
  <sheetFormatPr defaultRowHeight="14.5" x14ac:dyDescent="0.35"/>
  <cols>
    <col min="1" max="1" width="24" customWidth="1"/>
    <col min="2" max="2" width="95" customWidth="1"/>
  </cols>
  <sheetData>
    <row r="1" spans="1:2" x14ac:dyDescent="0.35">
      <c r="A1" s="13" t="s">
        <v>59</v>
      </c>
      <c r="B1" s="11"/>
    </row>
    <row r="2" spans="1:2" x14ac:dyDescent="0.35">
      <c r="A2" s="4"/>
      <c r="B2" s="4"/>
    </row>
    <row r="3" spans="1:2" ht="32" customHeight="1" x14ac:dyDescent="0.35">
      <c r="A3" s="9" t="s">
        <v>60</v>
      </c>
      <c r="B3" s="4" t="s">
        <v>61</v>
      </c>
    </row>
    <row r="4" spans="1:2" ht="32" customHeight="1" x14ac:dyDescent="0.35">
      <c r="A4" s="9" t="s">
        <v>62</v>
      </c>
      <c r="B4" s="4" t="s">
        <v>63</v>
      </c>
    </row>
    <row r="5" spans="1:2" ht="32" customHeight="1" x14ac:dyDescent="0.35">
      <c r="A5" s="9" t="s">
        <v>7</v>
      </c>
      <c r="B5" s="4" t="s">
        <v>64</v>
      </c>
    </row>
    <row r="6" spans="1:2" ht="32" customHeight="1" x14ac:dyDescent="0.35">
      <c r="A6" s="9" t="s">
        <v>65</v>
      </c>
      <c r="B6" s="4" t="s">
        <v>66</v>
      </c>
    </row>
    <row r="7" spans="1:2" ht="32" customHeight="1" x14ac:dyDescent="0.35">
      <c r="A7" s="9" t="s">
        <v>67</v>
      </c>
      <c r="B7" s="4" t="s">
        <v>68</v>
      </c>
    </row>
    <row r="8" spans="1:2" ht="32" customHeight="1" x14ac:dyDescent="0.35">
      <c r="A8" s="9" t="s">
        <v>69</v>
      </c>
      <c r="B8" s="4" t="s">
        <v>70</v>
      </c>
    </row>
    <row r="9" spans="1:2" ht="32" customHeight="1" x14ac:dyDescent="0.35">
      <c r="A9" s="9" t="s">
        <v>71</v>
      </c>
      <c r="B9" s="4" t="s">
        <v>72</v>
      </c>
    </row>
    <row r="10" spans="1:2" ht="32" customHeight="1" x14ac:dyDescent="0.35">
      <c r="A10" s="9" t="s">
        <v>73</v>
      </c>
      <c r="B10" s="4" t="s">
        <v>74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Scores</vt:lpstr>
      <vt:lpstr>Analysis Summary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hillahayo147@gmail.com</cp:lastModifiedBy>
  <dcterms:created xsi:type="dcterms:W3CDTF">2026-10-28T11:43:22Z</dcterms:created>
  <dcterms:modified xsi:type="dcterms:W3CDTF">2026-10-28T12:21:40Z</dcterms:modified>
</cp:coreProperties>
</file>